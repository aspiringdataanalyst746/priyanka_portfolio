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PRIYANKA\Documents\self-study\Excel practice (alextheanalyst)\"/>
    </mc:Choice>
  </mc:AlternateContent>
  <xr:revisionPtr revIDLastSave="0" documentId="13_ncr:1_{7B399110-22EA-4A9D-9A37-BEC8D93B6F54}"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<sst xmlns="http://schemas.openxmlformats.org/spreadsheetml/2006/main" count="16278" uniqueCount="55">
  <si>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</si>
  <si>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</si>
  <si>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</si>
  <si>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</si>
  <si>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</si>
  <si>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</si>
  <si>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</si>
  <si>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</si>
  <si>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</si>
  <si>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</si>
  <si>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</si>
  <si>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</si>
  <si>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</si>
  <si>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</si>
  <si>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</si>
  <si>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</si>
  <si>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</si>
  <si>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</si>
  <si>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</si>
  <si>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</si>
  <si>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</si>
  <si>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</si>
  <si>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</si>
  <si>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</si>
  <si>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</si>
  <si>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</si>
  <si>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</si>
  <si>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</si>
  <si>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</si>
  <si>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</si>
  <si>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</si>
  <si>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</si>
  <si>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</si>
  <si>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</si>
  <si>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</si>
  <si>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</si>
  <si>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</si>
  <si>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</si>
  <si>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</si>
  <si>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</si>
  <si>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</si>
  <si>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</si>
  <si>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</si>
  <si>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</si>
  <si>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</si>
  <si>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commuting distance- does the person who is buying a bike live close or far from where they work</t>
  </si>
  <si>
    <t>Income of customers- who should we cater to?</t>
  </si>
  <si>
    <t>Count of Purchased Bike</t>
  </si>
  <si>
    <t>10 Miles +</t>
  </si>
  <si>
    <t>Adolescent</t>
  </si>
  <si>
    <t>Middle Age</t>
  </si>
  <si>
    <t>Old</t>
  </si>
  <si>
    <t xml:space="preserve">Why age brackets are important: </t>
  </si>
  <si>
    <t>naming was on purpose so it would be in this order</t>
  </si>
  <si>
    <t xml:space="preserve">Bike Sales Dasboard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</si>
</sst>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quot;$&quot;#,##0"/>
    </dxf>
    <dxf>
      <numFmt numFmtId="166" formatCode="_-* #,##0_-;\-* #,##0_-;_-* &quot;-&quot;??_-;_-@_-"/>
    </dxf>
    <dxf>
      <numFmt numFmtId="165" formatCode="&quot;$&quot;#,##0"/>
    </dxf>
    <dxf>
      <numFmt numFmtId="166" formatCode="_-* #,##0_-;\-* #,##0_-;_-* &quot;-&quot;??_-;_-@_-"/>
    </dxf>
    <dxf>
      <numFmt numFmtId="166" formatCode="_-* #,##0_-;\-* #,##0_-;_-* &quot;-&quot;??_-;_-@_-"/>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Income per Person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50869.565217391304</c:v>
                </c:pt>
                <c:pt idx="1">
                  <c:v>50000</c:v>
                </c:pt>
              </c:numCache>
            </c:numRef>
          </c:val>
          <c:extLst>
            <c:ext xmlns:c16="http://schemas.microsoft.com/office/drawing/2014/chart" uri="{C3380CC4-5D6E-409C-BE32-E72D297353CC}">
              <c16:uniqueId val="{00000000-38EE-4BF6-809C-ACC0E86353C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58571.428571428572</c:v>
                </c:pt>
                <c:pt idx="1">
                  <c:v>56666.666666666664</c:v>
                </c:pt>
              </c:numCache>
            </c:numRef>
          </c:val>
          <c:extLst>
            <c:ext xmlns:c16="http://schemas.microsoft.com/office/drawing/2014/chart" uri="{C3380CC4-5D6E-409C-BE32-E72D297353CC}">
              <c16:uniqueId val="{00000001-38EE-4BF6-809C-ACC0E86353C2}"/>
            </c:ext>
          </c:extLst>
        </c:ser>
        <c:dLbls>
          <c:showLegendKey val="0"/>
          <c:showVal val="0"/>
          <c:showCatName val="0"/>
          <c:showSerName val="0"/>
          <c:showPercent val="0"/>
          <c:showBubbleSize val="0"/>
        </c:dLbls>
        <c:gapWidth val="219"/>
        <c:overlap val="-27"/>
        <c:axId val="203781807"/>
        <c:axId val="203782287"/>
      </c:barChart>
      <c:catAx>
        <c:axId val="20378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2287"/>
        <c:crosses val="autoZero"/>
        <c:auto val="1"/>
        <c:lblAlgn val="ctr"/>
        <c:lblOffset val="100"/>
        <c:noMultiLvlLbl val="0"/>
      </c:catAx>
      <c:valAx>
        <c:axId val="20378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18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Table'!$B$29:$B$34</c:f>
              <c:numCache>
                <c:formatCode>General</c:formatCode>
                <c:ptCount val="5"/>
                <c:pt idx="0">
                  <c:v>8</c:v>
                </c:pt>
                <c:pt idx="1">
                  <c:v>12</c:v>
                </c:pt>
                <c:pt idx="2">
                  <c:v>7</c:v>
                </c:pt>
                <c:pt idx="3">
                  <c:v>19</c:v>
                </c:pt>
                <c:pt idx="4">
                  <c:v>9</c:v>
                </c:pt>
              </c:numCache>
            </c:numRef>
          </c:val>
          <c:smooth val="0"/>
          <c:extLst>
            <c:ext xmlns:c16="http://schemas.microsoft.com/office/drawing/2014/chart" uri="{C3380CC4-5D6E-409C-BE32-E72D297353CC}">
              <c16:uniqueId val="{00000000-62C7-4AE9-B31F-9D899A66B495}"/>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10 Miles +</c:v>
                </c:pt>
              </c:strCache>
            </c:strRef>
          </c:cat>
          <c:val>
            <c:numRef>
              <c:f>'Pivot Table'!$C$29:$C$34</c:f>
              <c:numCache>
                <c:formatCode>General</c:formatCode>
                <c:ptCount val="5"/>
                <c:pt idx="0">
                  <c:v>6</c:v>
                </c:pt>
                <c:pt idx="1">
                  <c:v>10</c:v>
                </c:pt>
                <c:pt idx="2">
                  <c:v>6</c:v>
                </c:pt>
                <c:pt idx="3">
                  <c:v>14</c:v>
                </c:pt>
                <c:pt idx="4">
                  <c:v>5</c:v>
                </c:pt>
              </c:numCache>
            </c:numRef>
          </c:val>
          <c:smooth val="0"/>
          <c:extLst>
            <c:ext xmlns:c16="http://schemas.microsoft.com/office/drawing/2014/chart" uri="{C3380CC4-5D6E-409C-BE32-E72D297353CC}">
              <c16:uniqueId val="{00000001-62C7-4AE9-B31F-9D899A66B495}"/>
            </c:ext>
          </c:extLst>
        </c:ser>
        <c:dLbls>
          <c:showLegendKey val="0"/>
          <c:showVal val="0"/>
          <c:showCatName val="0"/>
          <c:showSerName val="0"/>
          <c:showPercent val="0"/>
          <c:showBubbleSize val="0"/>
        </c:dLbls>
        <c:smooth val="0"/>
        <c:axId val="912182672"/>
        <c:axId val="912185072"/>
      </c:lineChart>
      <c:catAx>
        <c:axId val="912182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85072"/>
        <c:crosses val="autoZero"/>
        <c:auto val="1"/>
        <c:lblAlgn val="ctr"/>
        <c:lblOffset val="100"/>
        <c:noMultiLvlLbl val="0"/>
      </c:catAx>
      <c:valAx>
        <c:axId val="9121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8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6</c:v>
                </c:pt>
                <c:pt idx="1">
                  <c:v>32</c:v>
                </c:pt>
                <c:pt idx="2">
                  <c:v>17</c:v>
                </c:pt>
              </c:numCache>
            </c:numRef>
          </c:val>
          <c:smooth val="0"/>
          <c:extLst>
            <c:ext xmlns:c16="http://schemas.microsoft.com/office/drawing/2014/chart" uri="{C3380CC4-5D6E-409C-BE32-E72D297353CC}">
              <c16:uniqueId val="{00000000-E8D5-4CD2-8629-85EA418E5BAC}"/>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5</c:v>
                </c:pt>
                <c:pt idx="1">
                  <c:v>29</c:v>
                </c:pt>
                <c:pt idx="2">
                  <c:v>7</c:v>
                </c:pt>
              </c:numCache>
            </c:numRef>
          </c:val>
          <c:smooth val="0"/>
          <c:extLst>
            <c:ext xmlns:c16="http://schemas.microsoft.com/office/drawing/2014/chart" uri="{C3380CC4-5D6E-409C-BE32-E72D297353CC}">
              <c16:uniqueId val="{00000001-E8D5-4CD2-8629-85EA418E5BAC}"/>
            </c:ext>
          </c:extLst>
        </c:ser>
        <c:dLbls>
          <c:showLegendKey val="0"/>
          <c:showVal val="0"/>
          <c:showCatName val="0"/>
          <c:showSerName val="0"/>
          <c:showPercent val="0"/>
          <c:showBubbleSize val="0"/>
        </c:dLbls>
        <c:marker val="1"/>
        <c:smooth val="0"/>
        <c:axId val="751789951"/>
        <c:axId val="751790431"/>
      </c:lineChart>
      <c:catAx>
        <c:axId val="75178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90431"/>
        <c:crosses val="autoZero"/>
        <c:auto val="1"/>
        <c:lblAlgn val="ctr"/>
        <c:lblOffset val="100"/>
        <c:noMultiLvlLbl val="0"/>
      </c:catAx>
      <c:valAx>
        <c:axId val="75179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8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Table'!$B$77:$B$78</c:f>
              <c:strCache>
                <c:ptCount val="1"/>
                <c:pt idx="0">
                  <c:v>No</c:v>
                </c:pt>
              </c:strCache>
            </c:strRef>
          </c:tx>
          <c:spPr>
            <a:ln w="28575" cap="rnd">
              <a:solidFill>
                <a:schemeClr val="accent1"/>
              </a:solidFill>
              <a:round/>
            </a:ln>
            <a:effectLst/>
          </c:spPr>
          <c:marker>
            <c:symbol val="none"/>
          </c:marker>
          <c:cat>
            <c:strRef>
              <c:f>'Pivot Table'!$A$79:$A$113</c:f>
              <c:strCache>
                <c:ptCount val="34"/>
                <c:pt idx="0">
                  <c:v>26</c:v>
                </c:pt>
                <c:pt idx="1">
                  <c:v>27</c:v>
                </c:pt>
                <c:pt idx="2">
                  <c:v>28</c:v>
                </c:pt>
                <c:pt idx="3">
                  <c:v>29</c:v>
                </c:pt>
                <c:pt idx="4">
                  <c:v>30</c:v>
                </c:pt>
                <c:pt idx="5">
                  <c:v>31</c:v>
                </c:pt>
                <c:pt idx="6">
                  <c:v>32</c:v>
                </c:pt>
                <c:pt idx="7">
                  <c:v>34</c:v>
                </c:pt>
                <c:pt idx="8">
                  <c:v>35</c:v>
                </c:pt>
                <c:pt idx="9">
                  <c:v>37</c:v>
                </c:pt>
                <c:pt idx="10">
                  <c:v>38</c:v>
                </c:pt>
                <c:pt idx="11">
                  <c:v>40</c:v>
                </c:pt>
                <c:pt idx="12">
                  <c:v>41</c:v>
                </c:pt>
                <c:pt idx="13">
                  <c:v>42</c:v>
                </c:pt>
                <c:pt idx="14">
                  <c:v>43</c:v>
                </c:pt>
                <c:pt idx="15">
                  <c:v>44</c:v>
                </c:pt>
                <c:pt idx="16">
                  <c:v>45</c:v>
                </c:pt>
                <c:pt idx="17">
                  <c:v>46</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64</c:v>
                </c:pt>
                <c:pt idx="33">
                  <c:v>69</c:v>
                </c:pt>
              </c:strCache>
            </c:strRef>
          </c:cat>
          <c:val>
            <c:numRef>
              <c:f>'Pivot Table'!$B$79:$B$113</c:f>
              <c:numCache>
                <c:formatCode>General</c:formatCode>
                <c:ptCount val="34"/>
                <c:pt idx="0">
                  <c:v>1</c:v>
                </c:pt>
                <c:pt idx="1">
                  <c:v>3</c:v>
                </c:pt>
                <c:pt idx="3">
                  <c:v>1</c:v>
                </c:pt>
                <c:pt idx="4">
                  <c:v>1</c:v>
                </c:pt>
                <c:pt idx="5">
                  <c:v>1</c:v>
                </c:pt>
                <c:pt idx="6">
                  <c:v>1</c:v>
                </c:pt>
                <c:pt idx="10">
                  <c:v>1</c:v>
                </c:pt>
                <c:pt idx="13">
                  <c:v>1</c:v>
                </c:pt>
                <c:pt idx="14">
                  <c:v>2</c:v>
                </c:pt>
                <c:pt idx="16">
                  <c:v>2</c:v>
                </c:pt>
                <c:pt idx="17">
                  <c:v>1</c:v>
                </c:pt>
                <c:pt idx="18">
                  <c:v>3</c:v>
                </c:pt>
                <c:pt idx="19">
                  <c:v>4</c:v>
                </c:pt>
                <c:pt idx="20">
                  <c:v>4</c:v>
                </c:pt>
                <c:pt idx="21">
                  <c:v>4</c:v>
                </c:pt>
                <c:pt idx="22">
                  <c:v>2</c:v>
                </c:pt>
                <c:pt idx="23">
                  <c:v>5</c:v>
                </c:pt>
                <c:pt idx="24">
                  <c:v>1</c:v>
                </c:pt>
                <c:pt idx="25">
                  <c:v>4</c:v>
                </c:pt>
                <c:pt idx="26">
                  <c:v>1</c:v>
                </c:pt>
                <c:pt idx="27">
                  <c:v>1</c:v>
                </c:pt>
                <c:pt idx="28">
                  <c:v>1</c:v>
                </c:pt>
                <c:pt idx="29">
                  <c:v>4</c:v>
                </c:pt>
                <c:pt idx="30">
                  <c:v>2</c:v>
                </c:pt>
                <c:pt idx="31">
                  <c:v>2</c:v>
                </c:pt>
                <c:pt idx="32">
                  <c:v>1</c:v>
                </c:pt>
                <c:pt idx="33">
                  <c:v>1</c:v>
                </c:pt>
              </c:numCache>
            </c:numRef>
          </c:val>
          <c:smooth val="0"/>
          <c:extLst>
            <c:ext xmlns:c16="http://schemas.microsoft.com/office/drawing/2014/chart" uri="{C3380CC4-5D6E-409C-BE32-E72D297353CC}">
              <c16:uniqueId val="{00000000-C9A4-4E78-AA10-36FA911922E0}"/>
            </c:ext>
          </c:extLst>
        </c:ser>
        <c:ser>
          <c:idx val="1"/>
          <c:order val="1"/>
          <c:tx>
            <c:strRef>
              <c:f>'Pivot Table'!$C$77:$C$78</c:f>
              <c:strCache>
                <c:ptCount val="1"/>
                <c:pt idx="0">
                  <c:v>Yes</c:v>
                </c:pt>
              </c:strCache>
            </c:strRef>
          </c:tx>
          <c:spPr>
            <a:ln w="28575" cap="rnd">
              <a:solidFill>
                <a:schemeClr val="accent2"/>
              </a:solidFill>
              <a:round/>
            </a:ln>
            <a:effectLst/>
          </c:spPr>
          <c:marker>
            <c:symbol val="none"/>
          </c:marker>
          <c:cat>
            <c:strRef>
              <c:f>'Pivot Table'!$A$79:$A$113</c:f>
              <c:strCache>
                <c:ptCount val="34"/>
                <c:pt idx="0">
                  <c:v>26</c:v>
                </c:pt>
                <c:pt idx="1">
                  <c:v>27</c:v>
                </c:pt>
                <c:pt idx="2">
                  <c:v>28</c:v>
                </c:pt>
                <c:pt idx="3">
                  <c:v>29</c:v>
                </c:pt>
                <c:pt idx="4">
                  <c:v>30</c:v>
                </c:pt>
                <c:pt idx="5">
                  <c:v>31</c:v>
                </c:pt>
                <c:pt idx="6">
                  <c:v>32</c:v>
                </c:pt>
                <c:pt idx="7">
                  <c:v>34</c:v>
                </c:pt>
                <c:pt idx="8">
                  <c:v>35</c:v>
                </c:pt>
                <c:pt idx="9">
                  <c:v>37</c:v>
                </c:pt>
                <c:pt idx="10">
                  <c:v>38</c:v>
                </c:pt>
                <c:pt idx="11">
                  <c:v>40</c:v>
                </c:pt>
                <c:pt idx="12">
                  <c:v>41</c:v>
                </c:pt>
                <c:pt idx="13">
                  <c:v>42</c:v>
                </c:pt>
                <c:pt idx="14">
                  <c:v>43</c:v>
                </c:pt>
                <c:pt idx="15">
                  <c:v>44</c:v>
                </c:pt>
                <c:pt idx="16">
                  <c:v>45</c:v>
                </c:pt>
                <c:pt idx="17">
                  <c:v>46</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64</c:v>
                </c:pt>
                <c:pt idx="33">
                  <c:v>69</c:v>
                </c:pt>
              </c:strCache>
            </c:strRef>
          </c:cat>
          <c:val>
            <c:numRef>
              <c:f>'Pivot Table'!$C$79:$C$113</c:f>
              <c:numCache>
                <c:formatCode>General</c:formatCode>
                <c:ptCount val="34"/>
                <c:pt idx="1">
                  <c:v>2</c:v>
                </c:pt>
                <c:pt idx="2">
                  <c:v>3</c:v>
                </c:pt>
                <c:pt idx="6">
                  <c:v>1</c:v>
                </c:pt>
                <c:pt idx="7">
                  <c:v>2</c:v>
                </c:pt>
                <c:pt idx="8">
                  <c:v>1</c:v>
                </c:pt>
                <c:pt idx="9">
                  <c:v>1</c:v>
                </c:pt>
                <c:pt idx="11">
                  <c:v>2</c:v>
                </c:pt>
                <c:pt idx="12">
                  <c:v>1</c:v>
                </c:pt>
                <c:pt idx="15">
                  <c:v>2</c:v>
                </c:pt>
                <c:pt idx="17">
                  <c:v>1</c:v>
                </c:pt>
                <c:pt idx="18">
                  <c:v>2</c:v>
                </c:pt>
                <c:pt idx="19">
                  <c:v>1</c:v>
                </c:pt>
                <c:pt idx="20">
                  <c:v>3</c:v>
                </c:pt>
                <c:pt idx="21">
                  <c:v>3</c:v>
                </c:pt>
                <c:pt idx="22">
                  <c:v>2</c:v>
                </c:pt>
                <c:pt idx="23">
                  <c:v>2</c:v>
                </c:pt>
                <c:pt idx="24">
                  <c:v>5</c:v>
                </c:pt>
                <c:pt idx="25">
                  <c:v>1</c:v>
                </c:pt>
                <c:pt idx="26">
                  <c:v>2</c:v>
                </c:pt>
                <c:pt idx="27">
                  <c:v>2</c:v>
                </c:pt>
                <c:pt idx="28">
                  <c:v>1</c:v>
                </c:pt>
                <c:pt idx="30">
                  <c:v>1</c:v>
                </c:pt>
              </c:numCache>
            </c:numRef>
          </c:val>
          <c:smooth val="0"/>
          <c:extLst>
            <c:ext xmlns:c16="http://schemas.microsoft.com/office/drawing/2014/chart" uri="{C3380CC4-5D6E-409C-BE32-E72D297353CC}">
              <c16:uniqueId val="{00000001-C9A4-4E78-AA10-36FA911922E0}"/>
            </c:ext>
          </c:extLst>
        </c:ser>
        <c:dLbls>
          <c:showLegendKey val="0"/>
          <c:showVal val="0"/>
          <c:showCatName val="0"/>
          <c:showSerName val="0"/>
          <c:showPercent val="0"/>
          <c:showBubbleSize val="0"/>
        </c:dLbls>
        <c:smooth val="0"/>
        <c:axId val="852516575"/>
        <c:axId val="852515135"/>
      </c:lineChart>
      <c:catAx>
        <c:axId val="8525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15135"/>
        <c:crosses val="autoZero"/>
        <c:auto val="1"/>
        <c:lblAlgn val="ctr"/>
        <c:lblOffset val="100"/>
        <c:noMultiLvlLbl val="0"/>
      </c:catAx>
      <c:valAx>
        <c:axId val="85251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1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Income per Person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50869.565217391304</c:v>
                </c:pt>
                <c:pt idx="1">
                  <c:v>50000</c:v>
                </c:pt>
              </c:numCache>
            </c:numRef>
          </c:val>
          <c:extLst>
            <c:ext xmlns:c16="http://schemas.microsoft.com/office/drawing/2014/chart" uri="{C3380CC4-5D6E-409C-BE32-E72D297353CC}">
              <c16:uniqueId val="{00000000-A6F8-49FE-86C8-E985108C5E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58571.428571428572</c:v>
                </c:pt>
                <c:pt idx="1">
                  <c:v>56666.666666666664</c:v>
                </c:pt>
              </c:numCache>
            </c:numRef>
          </c:val>
          <c:extLst>
            <c:ext xmlns:c16="http://schemas.microsoft.com/office/drawing/2014/chart" uri="{C3380CC4-5D6E-409C-BE32-E72D297353CC}">
              <c16:uniqueId val="{00000001-A6F8-49FE-86C8-E985108C5E67}"/>
            </c:ext>
          </c:extLst>
        </c:ser>
        <c:dLbls>
          <c:showLegendKey val="0"/>
          <c:showVal val="0"/>
          <c:showCatName val="0"/>
          <c:showSerName val="0"/>
          <c:showPercent val="0"/>
          <c:showBubbleSize val="0"/>
        </c:dLbls>
        <c:gapWidth val="219"/>
        <c:overlap val="-27"/>
        <c:axId val="203781807"/>
        <c:axId val="203782287"/>
      </c:barChart>
      <c:catAx>
        <c:axId val="20378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2287"/>
        <c:crosses val="autoZero"/>
        <c:auto val="1"/>
        <c:lblAlgn val="ctr"/>
        <c:lblOffset val="100"/>
        <c:noMultiLvlLbl val="0"/>
      </c:catAx>
      <c:valAx>
        <c:axId val="20378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18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10 Miles +</c:v>
                </c:pt>
              </c:strCache>
            </c:strRef>
          </c:cat>
          <c:val>
            <c:numRef>
              <c:f>'Pivot Table'!$B$29:$B$34</c:f>
              <c:numCache>
                <c:formatCode>General</c:formatCode>
                <c:ptCount val="5"/>
                <c:pt idx="0">
                  <c:v>8</c:v>
                </c:pt>
                <c:pt idx="1">
                  <c:v>12</c:v>
                </c:pt>
                <c:pt idx="2">
                  <c:v>7</c:v>
                </c:pt>
                <c:pt idx="3">
                  <c:v>19</c:v>
                </c:pt>
                <c:pt idx="4">
                  <c:v>9</c:v>
                </c:pt>
              </c:numCache>
            </c:numRef>
          </c:val>
          <c:smooth val="0"/>
          <c:extLst>
            <c:ext xmlns:c16="http://schemas.microsoft.com/office/drawing/2014/chart" uri="{C3380CC4-5D6E-409C-BE32-E72D297353CC}">
              <c16:uniqueId val="{00000000-FD7C-4310-8352-AA8E60F110FD}"/>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10 Miles +</c:v>
                </c:pt>
              </c:strCache>
            </c:strRef>
          </c:cat>
          <c:val>
            <c:numRef>
              <c:f>'Pivot Table'!$C$29:$C$34</c:f>
              <c:numCache>
                <c:formatCode>General</c:formatCode>
                <c:ptCount val="5"/>
                <c:pt idx="0">
                  <c:v>6</c:v>
                </c:pt>
                <c:pt idx="1">
                  <c:v>10</c:v>
                </c:pt>
                <c:pt idx="2">
                  <c:v>6</c:v>
                </c:pt>
                <c:pt idx="3">
                  <c:v>14</c:v>
                </c:pt>
                <c:pt idx="4">
                  <c:v>5</c:v>
                </c:pt>
              </c:numCache>
            </c:numRef>
          </c:val>
          <c:smooth val="0"/>
          <c:extLst>
            <c:ext xmlns:c16="http://schemas.microsoft.com/office/drawing/2014/chart" uri="{C3380CC4-5D6E-409C-BE32-E72D297353CC}">
              <c16:uniqueId val="{00000001-FD7C-4310-8352-AA8E60F110FD}"/>
            </c:ext>
          </c:extLst>
        </c:ser>
        <c:dLbls>
          <c:showLegendKey val="0"/>
          <c:showVal val="0"/>
          <c:showCatName val="0"/>
          <c:showSerName val="0"/>
          <c:showPercent val="0"/>
          <c:showBubbleSize val="0"/>
        </c:dLbls>
        <c:marker val="1"/>
        <c:smooth val="0"/>
        <c:axId val="912182672"/>
        <c:axId val="912185072"/>
      </c:lineChart>
      <c:catAx>
        <c:axId val="9121826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185072"/>
        <c:crosses val="autoZero"/>
        <c:auto val="1"/>
        <c:lblAlgn val="ctr"/>
        <c:lblOffset val="100"/>
        <c:noMultiLvlLbl val="0"/>
      </c:catAx>
      <c:valAx>
        <c:axId val="9121850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18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6</c:v>
                </c:pt>
                <c:pt idx="1">
                  <c:v>32</c:v>
                </c:pt>
                <c:pt idx="2">
                  <c:v>17</c:v>
                </c:pt>
              </c:numCache>
            </c:numRef>
          </c:val>
          <c:smooth val="0"/>
          <c:extLst>
            <c:ext xmlns:c16="http://schemas.microsoft.com/office/drawing/2014/chart" uri="{C3380CC4-5D6E-409C-BE32-E72D297353CC}">
              <c16:uniqueId val="{00000000-06F7-4724-A0C4-3433C3350E43}"/>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5</c:v>
                </c:pt>
                <c:pt idx="1">
                  <c:v>29</c:v>
                </c:pt>
                <c:pt idx="2">
                  <c:v>7</c:v>
                </c:pt>
              </c:numCache>
            </c:numRef>
          </c:val>
          <c:smooth val="0"/>
          <c:extLst>
            <c:ext xmlns:c16="http://schemas.microsoft.com/office/drawing/2014/chart" uri="{C3380CC4-5D6E-409C-BE32-E72D297353CC}">
              <c16:uniqueId val="{00000001-06F7-4724-A0C4-3433C3350E43}"/>
            </c:ext>
          </c:extLst>
        </c:ser>
        <c:dLbls>
          <c:showLegendKey val="0"/>
          <c:showVal val="0"/>
          <c:showCatName val="0"/>
          <c:showSerName val="0"/>
          <c:showPercent val="0"/>
          <c:showBubbleSize val="0"/>
        </c:dLbls>
        <c:marker val="1"/>
        <c:smooth val="0"/>
        <c:axId val="751789951"/>
        <c:axId val="751790431"/>
      </c:lineChart>
      <c:catAx>
        <c:axId val="75178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90431"/>
        <c:crosses val="autoZero"/>
        <c:auto val="1"/>
        <c:lblAlgn val="ctr"/>
        <c:lblOffset val="100"/>
        <c:noMultiLvlLbl val="0"/>
      </c:catAx>
      <c:valAx>
        <c:axId val="75179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8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118110</xdr:rowOff>
    </xdr:from>
    <xdr:to>
      <xdr:col>5</xdr:col>
      <xdr:colOff>472440</xdr:colOff>
      <xdr:row>23</xdr:row>
      <xdr:rowOff>118110</xdr:rowOff>
    </xdr:to>
    <xdr:graphicFrame macro="">
      <xdr:nvGraphicFramePr>
        <xdr:cNvPr id="2" name="Chart 1">
          <a:extLst>
            <a:ext uri="{FF2B5EF4-FFF2-40B4-BE49-F238E27FC236}">
              <a16:creationId xmlns:a16="http://schemas.microsoft.com/office/drawing/2014/main" id="{A3223F38-4971-5CFB-27A7-77DF53767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396240</xdr:colOff>
      <xdr:row>35</xdr:row>
      <xdr:rowOff>34290</xdr:rowOff>
    </xdr:from>
    <xdr:to>
      <xdr:col>6</xdr:col>
      <xdr:colOff>167640</xdr:colOff>
      <xdr:row>50</xdr:row>
      <xdr:rowOff>34290</xdr:rowOff>
    </xdr:to>
    <xdr:graphicFrame macro="">
      <xdr:nvGraphicFramePr>
        <xdr:cNvPr id="3" name="Chart 2">
          <a:extLst>
            <a:ext uri="{FF2B5EF4-FFF2-40B4-BE49-F238E27FC236}">
              <a16:creationId xmlns:a16="http://schemas.microsoft.com/office/drawing/2014/main" id="{37E867DA-4ADC-373E-61E1-4DB41618F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144786</xdr:colOff>
      <xdr:row>59</xdr:row>
      <xdr:rowOff>34290</xdr:rowOff>
    </xdr:from>
    <xdr:to>
      <xdr:col>5</xdr:col>
      <xdr:colOff>525786</xdr:colOff>
      <xdr:row>74</xdr:row>
      <xdr:rowOff>34290</xdr:rowOff>
    </xdr:to>
    <xdr:graphicFrame macro="">
      <xdr:nvGraphicFramePr>
        <xdr:cNvPr id="4" name="Chart 3">
          <a:extLst>
            <a:ext uri="{FF2B5EF4-FFF2-40B4-BE49-F238E27FC236}">
              <a16:creationId xmlns:a16="http://schemas.microsoft.com/office/drawing/2014/main" id="{B15D07F0-9C3C-E5C0-FE1A-C006FA464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175266</xdr:colOff>
      <xdr:row>99</xdr:row>
      <xdr:rowOff>26670</xdr:rowOff>
    </xdr:from>
    <xdr:to>
      <xdr:col>13</xdr:col>
      <xdr:colOff>480066</xdr:colOff>
      <xdr:row>114</xdr:row>
      <xdr:rowOff>26670</xdr:rowOff>
    </xdr:to>
    <xdr:graphicFrame macro="">
      <xdr:nvGraphicFramePr>
        <xdr:cNvPr id="5" name="Chart 4">
          <a:extLst>
            <a:ext uri="{FF2B5EF4-FFF2-40B4-BE49-F238E27FC236}">
              <a16:creationId xmlns:a16="http://schemas.microsoft.com/office/drawing/2014/main" id="{4750E8E8-748C-C536-BCE7-7C5347E24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456110</xdr:colOff>
      <xdr:row>6</xdr:row>
      <xdr:rowOff>120831</xdr:rowOff>
    </xdr:from>
    <xdr:to>
      <xdr:col>11</xdr:col>
      <xdr:colOff>348343</xdr:colOff>
      <xdr:row>24</xdr:row>
      <xdr:rowOff>87086</xdr:rowOff>
    </xdr:to>
    <xdr:graphicFrame macro="">
      <xdr:nvGraphicFramePr>
        <xdr:cNvPr id="2" name="Chart 1">
          <a:extLst>
            <a:ext uri="{FF2B5EF4-FFF2-40B4-BE49-F238E27FC236}">
              <a16:creationId xmlns:a16="http://schemas.microsoft.com/office/drawing/2014/main" id="{02801D94-06A3-4815-B855-D0EE5CD93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480061</xdr:colOff>
      <xdr:row>26</xdr:row>
      <xdr:rowOff>38098</xdr:rowOff>
    </xdr:from>
    <xdr:to>
      <xdr:col>20</xdr:col>
      <xdr:colOff>293915</xdr:colOff>
      <xdr:row>47</xdr:row>
      <xdr:rowOff>76200</xdr:rowOff>
    </xdr:to>
    <xdr:graphicFrame macro="">
      <xdr:nvGraphicFramePr>
        <xdr:cNvPr id="3" name="Chart 2">
          <a:extLst>
            <a:ext uri="{FF2B5EF4-FFF2-40B4-BE49-F238E27FC236}">
              <a16:creationId xmlns:a16="http://schemas.microsoft.com/office/drawing/2014/main" id="{D76E2DBA-C764-4395-84A2-665C436C7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106680</xdr:colOff>
      <xdr:row>6</xdr:row>
      <xdr:rowOff>127907</xdr:rowOff>
    </xdr:from>
    <xdr:to>
      <xdr:col>20</xdr:col>
      <xdr:colOff>283029</xdr:colOff>
      <xdr:row>24</xdr:row>
      <xdr:rowOff>80009</xdr:rowOff>
    </xdr:to>
    <xdr:graphicFrame macro="">
      <xdr:nvGraphicFramePr>
        <xdr:cNvPr id="4" name="Chart 3">
          <a:extLst>
            <a:ext uri="{FF2B5EF4-FFF2-40B4-BE49-F238E27FC236}">
              <a16:creationId xmlns:a16="http://schemas.microsoft.com/office/drawing/2014/main" id="{BA52B16D-2937-4647-86BD-9CEF15E32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131717</xdr:colOff>
      <xdr:row>6</xdr:row>
      <xdr:rowOff>138249</xdr:rowOff>
    </xdr:from>
    <xdr:to>
      <xdr:col>3</xdr:col>
      <xdr:colOff>195943</xdr:colOff>
      <xdr:row>12</xdr:row>
      <xdr:rowOff>43543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7EE4D0B-EDCC-2766-30AF-6F07E9F432B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1717" y="1248592"/>
              <a:ext cx="1893026" cy="101563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127362</xdr:colOff>
      <xdr:row>20</xdr:row>
      <xdr:rowOff>112124</xdr:rowOff>
    </xdr:from>
    <xdr:to>
      <xdr:col>3</xdr:col>
      <xdr:colOff>163285</xdr:colOff>
      <xdr:row>30</xdr:row>
      <xdr:rowOff>97973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F2C7616-81E5-21E0-F4E6-782532B995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7362" y="3813267"/>
              <a:ext cx="1864723" cy="18364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161110</xdr:colOff>
      <xdr:row>12</xdr:row>
      <xdr:rowOff>156755</xdr:rowOff>
    </xdr:from>
    <xdr:to>
      <xdr:col>3</xdr:col>
      <xdr:colOff>174172</xdr:colOff>
      <xdr:row>19</xdr:row>
      <xdr:rowOff>174171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75CD4A2-E3B4-6901-C514-FEC73BDB7A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1110" y="2377441"/>
              <a:ext cx="1841862" cy="131281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5662.749820949073" createdVersion="8" refreshedVersion="8" minRefreshableVersion="3" recordCount="1000" xr:uid="{45BA1B5A-C588-426E-B393-412E5D52692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3653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F82FD-25EF-4AE1-A4AD-55F67E7CF5B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6"/>
  </dataFields>
  <formats count="2">
    <format dxfId="5">
      <pivotArea collapsedLevelsAreSubtotals="1" fieldPosition="0">
        <references count="1">
          <reference field="2" count="1">
            <x v="0"/>
          </reference>
        </references>
      </pivotArea>
    </format>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8872F-1B9E-4D7C-BB2E-11BD0F81AA3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9DF15-9860-4033-9D7F-B641F247568F}"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7:D11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5">
    <i>
      <x v="1"/>
    </i>
    <i>
      <x v="2"/>
    </i>
    <i>
      <x v="3"/>
    </i>
    <i>
      <x v="4"/>
    </i>
    <i>
      <x v="5"/>
    </i>
    <i>
      <x v="6"/>
    </i>
    <i>
      <x v="7"/>
    </i>
    <i>
      <x v="9"/>
    </i>
    <i>
      <x v="10"/>
    </i>
    <i>
      <x v="12"/>
    </i>
    <i>
      <x v="13"/>
    </i>
    <i>
      <x v="15"/>
    </i>
    <i>
      <x v="16"/>
    </i>
    <i>
      <x v="17"/>
    </i>
    <i>
      <x v="18"/>
    </i>
    <i>
      <x v="19"/>
    </i>
    <i>
      <x v="20"/>
    </i>
    <i>
      <x v="21"/>
    </i>
    <i>
      <x v="23"/>
    </i>
    <i>
      <x v="24"/>
    </i>
    <i>
      <x v="25"/>
    </i>
    <i>
      <x v="26"/>
    </i>
    <i>
      <x v="27"/>
    </i>
    <i>
      <x v="28"/>
    </i>
    <i>
      <x v="29"/>
    </i>
    <i>
      <x v="30"/>
    </i>
    <i>
      <x v="31"/>
    </i>
    <i>
      <x v="33"/>
    </i>
    <i>
      <x v="34"/>
    </i>
    <i>
      <x v="35"/>
    </i>
    <i>
      <x v="36"/>
    </i>
    <i>
      <x v="37"/>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EF0BA-F75B-4ACB-A700-CA15D53152D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5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6FEB933-DC85-4580-A0D1-BA60EC1AAAC2}" sourceName="Marital Status">
  <pivotTables>
    <pivotTable tabId="3" name="PivotTable1"/>
    <pivotTable tabId="3" name="PivotTable2"/>
    <pivotTable tabId="3" name="PivotTable3"/>
    <pivotTable tabId="3" name="PivotTable4"/>
  </pivotTables>
  <data>
    <tabular pivotCacheId="16136530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487A8D3-F563-4782-8883-A381C75835F6}" sourceName="Education">
  <pivotTables>
    <pivotTable tabId="3" name="PivotTable1"/>
    <pivotTable tabId="3" name="PivotTable2"/>
    <pivotTable tabId="3" name="PivotTable3"/>
    <pivotTable tabId="3" name="PivotTable4"/>
  </pivotTables>
  <data>
    <tabular pivotCacheId="161365309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D7670E-926B-4FF3-8F1D-1BE8CBFA7E42}" sourceName="Region">
  <pivotTables>
    <pivotTable tabId="3" name="PivotTable1"/>
    <pivotTable tabId="3" name="PivotTable2"/>
    <pivotTable tabId="3" name="PivotTable3"/>
    <pivotTable tabId="3" name="PivotTable4"/>
  </pivotTables>
  <data>
    <tabular pivotCacheId="16136530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C6CEFD0-CD2C-424B-B02A-A0595029BD3E}" cache="Slicer_Marital_Status" caption="Marital Status" rowHeight="234950"/>
  <slicer name="Education" xr10:uid="{05742F5E-DC37-4E10-A683-63CAC299D662}" cache="Slicer_Education" caption="Education" rowHeight="234950"/>
  <slicer name="Region" xr10:uid="{0EDDDE2C-0CEF-4617-BF00-59F275AAB06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s="3" customFormat="1" x14ac:dyDescent="0.3">
      <c r="A1" s="3" t="s">
        <v>0</v>
      </c>
      <c r="B1" s="3" t="s">
        <v>1</v>
      </c>
      <c r="C1" s="3" t="s">
        <v>2</v>
      </c>
      <c r="D1" s="3" t="s">
        <v>3</v>
      </c>
      <c r="E1" s="3" t="s">
        <v>4</v>
      </c>
      <c r="F1" s="3" t="s">
        <v>5</v>
      </c>
      <c r="G1" s="3" t="s">
        <v>6</v>
      </c>
      <c r="H1" s="3" t="s">
        <v>7</v>
      </c>
      <c r="I1" s="3" t="s">
        <v>8</v>
      </c>
      <c r="J1" s="3" t="s">
        <v>9</v>
      </c>
      <c r="K1" s="3" t="s">
        <v>10</v>
      </c>
      <c r="L1" s="3" t="s">
        <v>11</v>
      </c>
      <c r="M1" s="3"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F155-FB8D-43B2-86BE-52E98B8D2095}">
  <dimension ref="A1:N1001"/>
  <sheetViews>
    <sheetView topLeftCell="E1" workbookViewId="0">
      <selection activeCell="M2" sqref="M2:M1001"/>
    </sheetView>
  </sheetViews>
  <sheetFormatPr defaultRowHeight="14.4" x14ac:dyDescent="0.3"/>
  <cols>
    <col min="2" max="2" width="24.109375" bestFit="1" customWidth="1"/>
    <col min="4" max="4" width="11" style="5" bestFit="1" customWidth="1"/>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
      <c r="A2">
        <v>12496</v>
      </c>
      <c r="B2" t="s">
        <v>36</v>
      </c>
      <c r="C2" t="s">
        <v>39</v>
      </c>
      <c r="D2" s="5">
        <v>40000</v>
      </c>
      <c r="E2">
        <v>1</v>
      </c>
      <c r="F2" t="s">
        <v>13</v>
      </c>
      <c r="G2" t="s">
        <v>14</v>
      </c>
      <c r="H2" t="s">
        <v>15</v>
      </c>
      <c r="I2">
        <v>0</v>
      </c>
      <c r="J2" t="s">
        <v>16</v>
      </c>
      <c r="K2" t="s">
        <v>17</v>
      </c>
      <c r="L2">
        <v>42</v>
      </c>
      <c r="M2" t="str">
        <f>IF(L2&gt;54, "Old", IF(L2&gt;=31,"Middle Age", IF(L2&lt;31, "Adolescent", "Invalid")))</f>
        <v>Middle Age</v>
      </c>
      <c r="N2" t="s">
        <v>18</v>
      </c>
    </row>
    <row r="3" spans="1:14" x14ac:dyDescent="0.3">
      <c r="A3">
        <v>24107</v>
      </c>
      <c r="B3" t="s">
        <v>36</v>
      </c>
      <c r="C3" t="s">
        <v>38</v>
      </c>
      <c r="D3" s="5">
        <v>30000</v>
      </c>
      <c r="E3">
        <v>3</v>
      </c>
      <c r="F3" t="s">
        <v>19</v>
      </c>
      <c r="G3" t="s">
        <v>20</v>
      </c>
      <c r="H3" t="s">
        <v>15</v>
      </c>
      <c r="I3">
        <v>1</v>
      </c>
      <c r="J3" t="s">
        <v>16</v>
      </c>
      <c r="K3" t="s">
        <v>17</v>
      </c>
      <c r="L3">
        <v>43</v>
      </c>
      <c r="M3" t="str">
        <f t="shared" ref="M3:M66" si="0">IF(L3&gt;54, "Old", IF(L3&gt;=31,"Middle Age", IF(L3&lt;31, "Adolescent", "Invalid")))</f>
        <v>Middle Age</v>
      </c>
      <c r="N3" t="s">
        <v>18</v>
      </c>
    </row>
    <row r="4" spans="1:14" x14ac:dyDescent="0.3">
      <c r="A4">
        <v>14177</v>
      </c>
      <c r="B4" t="s">
        <v>36</v>
      </c>
      <c r="C4" t="s">
        <v>38</v>
      </c>
      <c r="D4" s="5">
        <v>80000</v>
      </c>
      <c r="E4">
        <v>5</v>
      </c>
      <c r="F4" t="s">
        <v>19</v>
      </c>
      <c r="G4" t="s">
        <v>21</v>
      </c>
      <c r="H4" t="s">
        <v>18</v>
      </c>
      <c r="I4">
        <v>2</v>
      </c>
      <c r="J4" t="s">
        <v>22</v>
      </c>
      <c r="K4" t="s">
        <v>17</v>
      </c>
      <c r="L4">
        <v>60</v>
      </c>
      <c r="M4" t="str">
        <f t="shared" si="0"/>
        <v>Old</v>
      </c>
      <c r="N4" t="s">
        <v>18</v>
      </c>
    </row>
    <row r="5" spans="1:14" x14ac:dyDescent="0.3">
      <c r="A5">
        <v>24381</v>
      </c>
      <c r="B5" t="s">
        <v>37</v>
      </c>
      <c r="C5" t="s">
        <v>38</v>
      </c>
      <c r="D5" s="5">
        <v>70000</v>
      </c>
      <c r="E5">
        <v>0</v>
      </c>
      <c r="F5" t="s">
        <v>13</v>
      </c>
      <c r="G5" t="s">
        <v>21</v>
      </c>
      <c r="H5" t="s">
        <v>15</v>
      </c>
      <c r="I5">
        <v>1</v>
      </c>
      <c r="J5" t="s">
        <v>23</v>
      </c>
      <c r="K5" t="s">
        <v>24</v>
      </c>
      <c r="L5">
        <v>41</v>
      </c>
      <c r="M5" t="str">
        <f t="shared" si="0"/>
        <v>Middle Age</v>
      </c>
      <c r="N5" t="s">
        <v>15</v>
      </c>
    </row>
    <row r="6" spans="1:14" x14ac:dyDescent="0.3">
      <c r="A6">
        <v>25597</v>
      </c>
      <c r="B6" t="s">
        <v>37</v>
      </c>
      <c r="C6" t="s">
        <v>38</v>
      </c>
      <c r="D6" s="5">
        <v>30000</v>
      </c>
      <c r="E6">
        <v>0</v>
      </c>
      <c r="F6" t="s">
        <v>13</v>
      </c>
      <c r="G6" t="s">
        <v>20</v>
      </c>
      <c r="H6" t="s">
        <v>18</v>
      </c>
      <c r="I6">
        <v>0</v>
      </c>
      <c r="J6" t="s">
        <v>16</v>
      </c>
      <c r="K6" t="s">
        <v>17</v>
      </c>
      <c r="L6">
        <v>36</v>
      </c>
      <c r="M6" t="str">
        <f t="shared" si="0"/>
        <v>Middle Age</v>
      </c>
      <c r="N6" t="s">
        <v>15</v>
      </c>
    </row>
    <row r="7" spans="1:14" x14ac:dyDescent="0.3">
      <c r="A7">
        <v>13507</v>
      </c>
      <c r="B7" t="s">
        <v>36</v>
      </c>
      <c r="C7" t="s">
        <v>39</v>
      </c>
      <c r="D7" s="5">
        <v>10000</v>
      </c>
      <c r="E7">
        <v>2</v>
      </c>
      <c r="F7" t="s">
        <v>19</v>
      </c>
      <c r="G7" t="s">
        <v>25</v>
      </c>
      <c r="H7" t="s">
        <v>15</v>
      </c>
      <c r="I7">
        <v>0</v>
      </c>
      <c r="J7" t="s">
        <v>26</v>
      </c>
      <c r="K7" t="s">
        <v>17</v>
      </c>
      <c r="L7">
        <v>50</v>
      </c>
      <c r="M7" t="str">
        <f t="shared" si="0"/>
        <v>Middle Age</v>
      </c>
      <c r="N7" t="s">
        <v>18</v>
      </c>
    </row>
    <row r="8" spans="1:14" x14ac:dyDescent="0.3">
      <c r="A8">
        <v>27974</v>
      </c>
      <c r="B8" t="s">
        <v>37</v>
      </c>
      <c r="C8" t="s">
        <v>38</v>
      </c>
      <c r="D8" s="5">
        <v>160000</v>
      </c>
      <c r="E8">
        <v>2</v>
      </c>
      <c r="F8" t="s">
        <v>27</v>
      </c>
      <c r="G8" t="s">
        <v>28</v>
      </c>
      <c r="H8" t="s">
        <v>15</v>
      </c>
      <c r="I8">
        <v>4</v>
      </c>
      <c r="J8" t="s">
        <v>16</v>
      </c>
      <c r="K8" t="s">
        <v>24</v>
      </c>
      <c r="L8">
        <v>33</v>
      </c>
      <c r="M8" t="str">
        <f t="shared" si="0"/>
        <v>Middle Age</v>
      </c>
      <c r="N8" t="s">
        <v>15</v>
      </c>
    </row>
    <row r="9" spans="1:14" x14ac:dyDescent="0.3">
      <c r="A9">
        <v>19364</v>
      </c>
      <c r="B9" t="s">
        <v>36</v>
      </c>
      <c r="C9" t="s">
        <v>38</v>
      </c>
      <c r="D9" s="5">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5">
        <v>90000</v>
      </c>
      <c r="E13">
        <v>0</v>
      </c>
      <c r="F13" t="s">
        <v>13</v>
      </c>
      <c r="G13" t="s">
        <v>21</v>
      </c>
      <c r="H13" t="s">
        <v>18</v>
      </c>
      <c r="I13">
        <v>4</v>
      </c>
      <c r="J13" t="s">
        <v>48</v>
      </c>
      <c r="K13" t="s">
        <v>24</v>
      </c>
      <c r="L13">
        <v>36</v>
      </c>
      <c r="M13" t="str">
        <f t="shared" si="0"/>
        <v>Middle Age</v>
      </c>
      <c r="N13" t="s">
        <v>18</v>
      </c>
    </row>
    <row r="14" spans="1:14" x14ac:dyDescent="0.3">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5">
        <v>80000</v>
      </c>
      <c r="E23">
        <v>0</v>
      </c>
      <c r="F23" t="s">
        <v>13</v>
      </c>
      <c r="G23" t="s">
        <v>21</v>
      </c>
      <c r="H23" t="s">
        <v>15</v>
      </c>
      <c r="I23">
        <v>4</v>
      </c>
      <c r="J23" t="s">
        <v>48</v>
      </c>
      <c r="K23" t="s">
        <v>24</v>
      </c>
      <c r="L23">
        <v>35</v>
      </c>
      <c r="M23" t="str">
        <f t="shared" si="0"/>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5">
        <v>80000</v>
      </c>
      <c r="E53">
        <v>0</v>
      </c>
      <c r="F53" t="s">
        <v>13</v>
      </c>
      <c r="G53" t="s">
        <v>21</v>
      </c>
      <c r="H53" t="s">
        <v>18</v>
      </c>
      <c r="I53">
        <v>4</v>
      </c>
      <c r="J53" t="s">
        <v>48</v>
      </c>
      <c r="K53" t="s">
        <v>24</v>
      </c>
      <c r="L53">
        <v>35</v>
      </c>
      <c r="M53" t="str">
        <f t="shared" si="0"/>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5">
        <v>80000</v>
      </c>
      <c r="E57">
        <v>4</v>
      </c>
      <c r="F57" t="s">
        <v>27</v>
      </c>
      <c r="G57" t="s">
        <v>21</v>
      </c>
      <c r="H57" t="s">
        <v>15</v>
      </c>
      <c r="I57">
        <v>2</v>
      </c>
      <c r="J57" t="s">
        <v>48</v>
      </c>
      <c r="K57" t="s">
        <v>17</v>
      </c>
      <c r="L57">
        <v>54</v>
      </c>
      <c r="M57" t="str">
        <f t="shared" si="0"/>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5">
        <v>60000</v>
      </c>
      <c r="E65">
        <v>4</v>
      </c>
      <c r="F65" t="s">
        <v>13</v>
      </c>
      <c r="G65" t="s">
        <v>21</v>
      </c>
      <c r="H65" t="s">
        <v>15</v>
      </c>
      <c r="I65">
        <v>3</v>
      </c>
      <c r="J65" t="s">
        <v>48</v>
      </c>
      <c r="K65" t="s">
        <v>24</v>
      </c>
      <c r="L65">
        <v>41</v>
      </c>
      <c r="M65" t="str">
        <f t="shared" si="0"/>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IF(L67&gt;54, "Old", IF(L67&gt;=31,"Middle Age", IF(L67&lt;31, "Adolescent", "Invalid")))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5">
        <v>120000</v>
      </c>
      <c r="E72">
        <v>0</v>
      </c>
      <c r="F72" t="s">
        <v>29</v>
      </c>
      <c r="G72" t="s">
        <v>21</v>
      </c>
      <c r="H72" t="s">
        <v>15</v>
      </c>
      <c r="I72">
        <v>4</v>
      </c>
      <c r="J72" t="s">
        <v>48</v>
      </c>
      <c r="K72" t="s">
        <v>24</v>
      </c>
      <c r="L72">
        <v>36</v>
      </c>
      <c r="M72" t="str">
        <f t="shared" si="1"/>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5">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5">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5">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IF(L131&gt;54, "Old", IF(L131&gt;=31,"Middle Age", IF(L131&lt;31, "Adolescent", "Invalid")))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5">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5">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5">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5">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48</v>
      </c>
      <c r="K195" t="s">
        <v>24</v>
      </c>
      <c r="L195">
        <v>41</v>
      </c>
      <c r="M195" t="str">
        <f t="shared" ref="M195:M258" si="3">IF(L195&gt;54, "Old", IF(L195&gt;=31,"Middle Age", IF(L195&lt;31, "Adolescent", "Invalid")))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5">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5">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5">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5">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5">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5">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5">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5">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5">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IF(L259&gt;54, "Old", IF(L259&gt;=31,"Middle Age", IF(L259&lt;31, "Adolescent", "Invalid")))</f>
        <v>Middle Age</v>
      </c>
      <c r="N259" t="s">
        <v>15</v>
      </c>
    </row>
    <row r="260" spans="1:14" x14ac:dyDescent="0.3">
      <c r="A260">
        <v>14193</v>
      </c>
      <c r="B260" t="s">
        <v>37</v>
      </c>
      <c r="C260" t="s">
        <v>39</v>
      </c>
      <c r="D260" s="5">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5">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5">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5">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5">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IF(L323&gt;54, "Old", IF(L323&gt;=31,"Middle Age", IF(L323&lt;31, "Adolescent", "Invalid")))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5">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5">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5">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5">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IF(L387&gt;54, "Old", IF(L387&gt;=31,"Middle Age", IF(L387&lt;31, "Adolescent", "Invalid")))</f>
        <v>Middle Age</v>
      </c>
      <c r="N387" t="s">
        <v>18</v>
      </c>
    </row>
    <row r="388" spans="1:14" x14ac:dyDescent="0.3">
      <c r="A388">
        <v>28957</v>
      </c>
      <c r="B388" t="s">
        <v>37</v>
      </c>
      <c r="C388" t="s">
        <v>39</v>
      </c>
      <c r="D388" s="5">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5">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5">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5">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5">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5">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5">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IF(L451&gt;54, "Old", IF(L451&gt;=31,"Middle Age", IF(L451&lt;31, "Adolescent", "Invalid")))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39</v>
      </c>
      <c r="D461" s="5">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5">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5">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5">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5">
        <v>60000</v>
      </c>
      <c r="E515">
        <v>4</v>
      </c>
      <c r="F515" t="s">
        <v>31</v>
      </c>
      <c r="G515" t="s">
        <v>28</v>
      </c>
      <c r="H515" t="s">
        <v>15</v>
      </c>
      <c r="I515">
        <v>2</v>
      </c>
      <c r="J515" t="s">
        <v>48</v>
      </c>
      <c r="K515" t="s">
        <v>32</v>
      </c>
      <c r="L515">
        <v>61</v>
      </c>
      <c r="M515" t="str">
        <f t="shared" ref="M515:M578" si="8">IF(L515&gt;54, "Old", IF(L515&gt;=31,"Middle Age", IF(L515&lt;31, "Adolescent", "Invalid")))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5">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5">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5">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5">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5">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5">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5">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IF(L579&gt;54, "Old", IF(L579&gt;=31,"Middle Age", IF(L579&lt;31, "Adolescent", "Invalid")))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5">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5">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5">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38</v>
      </c>
      <c r="D591" s="5">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5">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5">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48</v>
      </c>
      <c r="K643" t="s">
        <v>32</v>
      </c>
      <c r="L643">
        <v>64</v>
      </c>
      <c r="M643" t="str">
        <f t="shared" ref="M643:M706" si="10">IF(L643&gt;54, "Old", IF(L643&gt;=31,"Middle Age", IF(L643&lt;31, "Adolescent", "Invalid")))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5">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5">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5">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5">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5">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5">
        <v>70000</v>
      </c>
      <c r="E707">
        <v>4</v>
      </c>
      <c r="F707" t="s">
        <v>13</v>
      </c>
      <c r="G707" t="s">
        <v>28</v>
      </c>
      <c r="H707" t="s">
        <v>15</v>
      </c>
      <c r="I707">
        <v>1</v>
      </c>
      <c r="J707" t="s">
        <v>48</v>
      </c>
      <c r="K707" t="s">
        <v>32</v>
      </c>
      <c r="L707">
        <v>59</v>
      </c>
      <c r="M707" t="str">
        <f t="shared" ref="M707:M770" si="11">IF(L707&gt;54, "Old", IF(L707&gt;=31,"Middle Age", IF(L707&lt;31, "Adolescent", "Invalid")))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5">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5">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5">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5">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5">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5">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5">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IF(L771&gt;54, "Old", IF(L771&gt;=31,"Middle Age", IF(L771&lt;31, "Adolescent", "Invalid")))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5">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5">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5">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IF(L835&gt;54, "Old", IF(L835&gt;=31,"Middle Age", IF(L835&lt;31, "Adolescent", "Invalid")))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5">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5">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5">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5">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5">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IF(L899&gt;54, "Old", IF(L899&gt;=31,"Middle Age", IF(L899&lt;31, "Adolescent", "Invalid")))</f>
        <v>Adolescent</v>
      </c>
      <c r="N899" t="s">
        <v>18</v>
      </c>
    </row>
    <row r="900" spans="1:14" x14ac:dyDescent="0.3">
      <c r="A900">
        <v>18066</v>
      </c>
      <c r="B900" t="s">
        <v>37</v>
      </c>
      <c r="C900" t="s">
        <v>38</v>
      </c>
      <c r="D900" s="5">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5">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5">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5">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5">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5">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5">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IF(L963&gt;54, "Old", IF(L963&gt;=31,"Middle Age", IF(L963&lt;31, "Adolescent", "Invalid")))</f>
        <v>Old</v>
      </c>
      <c r="N963" t="s">
        <v>18</v>
      </c>
    </row>
    <row r="964" spans="1:14" x14ac:dyDescent="0.3">
      <c r="A964">
        <v>16813</v>
      </c>
      <c r="B964" t="s">
        <v>36</v>
      </c>
      <c r="C964" t="s">
        <v>38</v>
      </c>
      <c r="D964" s="5">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5">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5">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5">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5">
        <v>60000</v>
      </c>
      <c r="E1001">
        <v>3</v>
      </c>
      <c r="F1001" t="s">
        <v>27</v>
      </c>
      <c r="G1001" t="s">
        <v>21</v>
      </c>
      <c r="H1001" t="s">
        <v>15</v>
      </c>
      <c r="I1001">
        <v>2</v>
      </c>
      <c r="J1001" t="s">
        <v>48</v>
      </c>
      <c r="K1001" t="s">
        <v>32</v>
      </c>
      <c r="L1001">
        <v>53</v>
      </c>
      <c r="M1001" t="str">
        <f t="shared" si="15"/>
        <v>Middle Age</v>
      </c>
      <c r="N1001" t="s">
        <v>15</v>
      </c>
    </row>
  </sheetData>
  <autoFilter ref="A1:N1001" xr:uid="{AB36F155-FB8D-43B2-86BE-52E98B8D209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0217-ED7C-43D1-81E0-1B478C2B8B82}">
  <dimension ref="A2:H113"/>
  <sheetViews>
    <sheetView topLeftCell="A71" workbookViewId="0">
      <selection activeCell="F160" sqref="F16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2" spans="1:4" x14ac:dyDescent="0.3">
      <c r="A2" t="s">
        <v>46</v>
      </c>
    </row>
    <row r="3" spans="1:4" x14ac:dyDescent="0.3">
      <c r="A3" s="6" t="s">
        <v>43</v>
      </c>
      <c r="B3" s="6" t="s">
        <v>44</v>
      </c>
    </row>
    <row r="4" spans="1:4" x14ac:dyDescent="0.3">
      <c r="A4" s="6" t="s">
        <v>41</v>
      </c>
      <c r="B4" t="s">
        <v>18</v>
      </c>
      <c r="C4" t="s">
        <v>15</v>
      </c>
      <c r="D4" t="s">
        <v>42</v>
      </c>
    </row>
    <row r="5" spans="1:4" x14ac:dyDescent="0.3">
      <c r="A5" s="7" t="s">
        <v>39</v>
      </c>
      <c r="B5" s="8">
        <v>50869.565217391304</v>
      </c>
      <c r="C5" s="8">
        <v>58571.428571428572</v>
      </c>
      <c r="D5" s="8">
        <v>53783.783783783787</v>
      </c>
    </row>
    <row r="6" spans="1:4" x14ac:dyDescent="0.3">
      <c r="A6" s="7" t="s">
        <v>38</v>
      </c>
      <c r="B6" s="8">
        <v>50000</v>
      </c>
      <c r="C6" s="8">
        <v>56666.666666666664</v>
      </c>
      <c r="D6" s="8">
        <v>53050.847457627118</v>
      </c>
    </row>
    <row r="7" spans="1:4" x14ac:dyDescent="0.3">
      <c r="A7" s="7" t="s">
        <v>42</v>
      </c>
      <c r="B7" s="8">
        <v>50363.63636363636</v>
      </c>
      <c r="C7" s="8">
        <v>57317.07317073171</v>
      </c>
      <c r="D7" s="8">
        <v>53333.333333333336</v>
      </c>
    </row>
    <row r="26" spans="1:4" x14ac:dyDescent="0.3">
      <c r="A26" t="s">
        <v>45</v>
      </c>
    </row>
    <row r="27" spans="1:4" x14ac:dyDescent="0.3">
      <c r="A27" s="6" t="s">
        <v>47</v>
      </c>
      <c r="B27" s="6" t="s">
        <v>44</v>
      </c>
    </row>
    <row r="28" spans="1:4" x14ac:dyDescent="0.3">
      <c r="A28" s="6" t="s">
        <v>41</v>
      </c>
      <c r="B28" t="s">
        <v>18</v>
      </c>
      <c r="C28" t="s">
        <v>15</v>
      </c>
      <c r="D28" t="s">
        <v>42</v>
      </c>
    </row>
    <row r="29" spans="1:4" x14ac:dyDescent="0.3">
      <c r="A29" s="7" t="s">
        <v>16</v>
      </c>
      <c r="B29" s="11">
        <v>8</v>
      </c>
      <c r="C29" s="11">
        <v>6</v>
      </c>
      <c r="D29" s="11">
        <v>14</v>
      </c>
    </row>
    <row r="30" spans="1:4" x14ac:dyDescent="0.3">
      <c r="A30" s="7" t="s">
        <v>26</v>
      </c>
      <c r="B30" s="11">
        <v>12</v>
      </c>
      <c r="C30" s="11">
        <v>10</v>
      </c>
      <c r="D30" s="11">
        <v>22</v>
      </c>
    </row>
    <row r="31" spans="1:4" x14ac:dyDescent="0.3">
      <c r="A31" s="7" t="s">
        <v>22</v>
      </c>
      <c r="B31" s="11">
        <v>7</v>
      </c>
      <c r="C31" s="11">
        <v>6</v>
      </c>
      <c r="D31" s="11">
        <v>13</v>
      </c>
    </row>
    <row r="32" spans="1:4" x14ac:dyDescent="0.3">
      <c r="A32" s="7" t="s">
        <v>23</v>
      </c>
      <c r="B32" s="11">
        <v>19</v>
      </c>
      <c r="C32" s="11">
        <v>14</v>
      </c>
      <c r="D32" s="11">
        <v>33</v>
      </c>
    </row>
    <row r="33" spans="1:4" x14ac:dyDescent="0.3">
      <c r="A33" s="7" t="s">
        <v>48</v>
      </c>
      <c r="B33" s="11">
        <v>9</v>
      </c>
      <c r="C33" s="11">
        <v>5</v>
      </c>
      <c r="D33" s="11">
        <v>14</v>
      </c>
    </row>
    <row r="34" spans="1:4" x14ac:dyDescent="0.3">
      <c r="A34" s="7" t="s">
        <v>42</v>
      </c>
      <c r="B34" s="11">
        <v>55</v>
      </c>
      <c r="C34" s="11">
        <v>41</v>
      </c>
      <c r="D34" s="11">
        <v>96</v>
      </c>
    </row>
    <row r="53" spans="1:8" x14ac:dyDescent="0.3">
      <c r="A53" s="6" t="s">
        <v>47</v>
      </c>
      <c r="B53" s="6" t="s">
        <v>44</v>
      </c>
    </row>
    <row r="54" spans="1:8" x14ac:dyDescent="0.3">
      <c r="A54" s="6" t="s">
        <v>41</v>
      </c>
      <c r="B54" t="s">
        <v>18</v>
      </c>
      <c r="C54" t="s">
        <v>15</v>
      </c>
      <c r="D54" t="s">
        <v>42</v>
      </c>
    </row>
    <row r="55" spans="1:8" x14ac:dyDescent="0.3">
      <c r="A55" s="7" t="s">
        <v>49</v>
      </c>
      <c r="B55" s="11">
        <v>6</v>
      </c>
      <c r="C55" s="11">
        <v>5</v>
      </c>
      <c r="D55" s="11">
        <v>11</v>
      </c>
    </row>
    <row r="56" spans="1:8" x14ac:dyDescent="0.3">
      <c r="A56" s="7" t="s">
        <v>50</v>
      </c>
      <c r="B56" s="11">
        <v>32</v>
      </c>
      <c r="C56" s="11">
        <v>29</v>
      </c>
      <c r="D56" s="11">
        <v>61</v>
      </c>
    </row>
    <row r="57" spans="1:8" x14ac:dyDescent="0.3">
      <c r="A57" s="7" t="s">
        <v>51</v>
      </c>
      <c r="B57" s="11">
        <v>17</v>
      </c>
      <c r="C57" s="11">
        <v>7</v>
      </c>
      <c r="D57" s="11">
        <v>24</v>
      </c>
    </row>
    <row r="58" spans="1:8" x14ac:dyDescent="0.3">
      <c r="A58" s="7" t="s">
        <v>42</v>
      </c>
      <c r="B58" s="11">
        <v>55</v>
      </c>
      <c r="C58" s="11">
        <v>41</v>
      </c>
      <c r="D58" s="11">
        <v>96</v>
      </c>
    </row>
    <row r="63" spans="1:8" x14ac:dyDescent="0.3">
      <c r="H63" t="s">
        <v>53</v>
      </c>
    </row>
    <row r="76" spans="1:4" x14ac:dyDescent="0.3">
      <c r="A76" t="s">
        <v>52</v>
      </c>
    </row>
    <row r="77" spans="1:4" x14ac:dyDescent="0.3">
      <c r="A77" s="6" t="s">
        <v>47</v>
      </c>
      <c r="B77" s="6" t="s">
        <v>44</v>
      </c>
    </row>
    <row r="78" spans="1:4" x14ac:dyDescent="0.3">
      <c r="A78" s="6" t="s">
        <v>41</v>
      </c>
      <c r="B78" t="s">
        <v>18</v>
      </c>
      <c r="C78" t="s">
        <v>15</v>
      </c>
      <c r="D78" t="s">
        <v>42</v>
      </c>
    </row>
    <row r="79" spans="1:4" x14ac:dyDescent="0.3">
      <c r="A79" s="7">
        <v>26</v>
      </c>
      <c r="B79" s="11">
        <v>1</v>
      </c>
      <c r="C79" s="11"/>
      <c r="D79" s="11">
        <v>1</v>
      </c>
    </row>
    <row r="80" spans="1:4" x14ac:dyDescent="0.3">
      <c r="A80" s="7">
        <v>27</v>
      </c>
      <c r="B80" s="11">
        <v>3</v>
      </c>
      <c r="C80" s="11">
        <v>2</v>
      </c>
      <c r="D80" s="11">
        <v>5</v>
      </c>
    </row>
    <row r="81" spans="1:4" x14ac:dyDescent="0.3">
      <c r="A81" s="7">
        <v>28</v>
      </c>
      <c r="B81" s="11"/>
      <c r="C81" s="11">
        <v>3</v>
      </c>
      <c r="D81" s="11">
        <v>3</v>
      </c>
    </row>
    <row r="82" spans="1:4" x14ac:dyDescent="0.3">
      <c r="A82" s="7">
        <v>29</v>
      </c>
      <c r="B82" s="11">
        <v>1</v>
      </c>
      <c r="C82" s="11"/>
      <c r="D82" s="11">
        <v>1</v>
      </c>
    </row>
    <row r="83" spans="1:4" x14ac:dyDescent="0.3">
      <c r="A83" s="7">
        <v>30</v>
      </c>
      <c r="B83" s="11">
        <v>1</v>
      </c>
      <c r="C83" s="11"/>
      <c r="D83" s="11">
        <v>1</v>
      </c>
    </row>
    <row r="84" spans="1:4" x14ac:dyDescent="0.3">
      <c r="A84" s="7">
        <v>31</v>
      </c>
      <c r="B84" s="11">
        <v>1</v>
      </c>
      <c r="C84" s="11"/>
      <c r="D84" s="11">
        <v>1</v>
      </c>
    </row>
    <row r="85" spans="1:4" x14ac:dyDescent="0.3">
      <c r="A85" s="7">
        <v>32</v>
      </c>
      <c r="B85" s="11">
        <v>1</v>
      </c>
      <c r="C85" s="11">
        <v>1</v>
      </c>
      <c r="D85" s="11">
        <v>2</v>
      </c>
    </row>
    <row r="86" spans="1:4" x14ac:dyDescent="0.3">
      <c r="A86" s="7">
        <v>34</v>
      </c>
      <c r="B86" s="11"/>
      <c r="C86" s="11">
        <v>2</v>
      </c>
      <c r="D86" s="11">
        <v>2</v>
      </c>
    </row>
    <row r="87" spans="1:4" x14ac:dyDescent="0.3">
      <c r="A87" s="7">
        <v>35</v>
      </c>
      <c r="B87" s="11"/>
      <c r="C87" s="11">
        <v>1</v>
      </c>
      <c r="D87" s="11">
        <v>1</v>
      </c>
    </row>
    <row r="88" spans="1:4" x14ac:dyDescent="0.3">
      <c r="A88" s="7">
        <v>37</v>
      </c>
      <c r="B88" s="11"/>
      <c r="C88" s="11">
        <v>1</v>
      </c>
      <c r="D88" s="11">
        <v>1</v>
      </c>
    </row>
    <row r="89" spans="1:4" x14ac:dyDescent="0.3">
      <c r="A89" s="7">
        <v>38</v>
      </c>
      <c r="B89" s="11">
        <v>1</v>
      </c>
      <c r="C89" s="11"/>
      <c r="D89" s="11">
        <v>1</v>
      </c>
    </row>
    <row r="90" spans="1:4" x14ac:dyDescent="0.3">
      <c r="A90" s="7">
        <v>40</v>
      </c>
      <c r="B90" s="11"/>
      <c r="C90" s="11">
        <v>2</v>
      </c>
      <c r="D90" s="11">
        <v>2</v>
      </c>
    </row>
    <row r="91" spans="1:4" x14ac:dyDescent="0.3">
      <c r="A91" s="7">
        <v>41</v>
      </c>
      <c r="B91" s="11"/>
      <c r="C91" s="11">
        <v>1</v>
      </c>
      <c r="D91" s="11">
        <v>1</v>
      </c>
    </row>
    <row r="92" spans="1:4" x14ac:dyDescent="0.3">
      <c r="A92" s="7">
        <v>42</v>
      </c>
      <c r="B92" s="11">
        <v>1</v>
      </c>
      <c r="C92" s="11"/>
      <c r="D92" s="11">
        <v>1</v>
      </c>
    </row>
    <row r="93" spans="1:4" x14ac:dyDescent="0.3">
      <c r="A93" s="7">
        <v>43</v>
      </c>
      <c r="B93" s="11">
        <v>2</v>
      </c>
      <c r="C93" s="11"/>
      <c r="D93" s="11">
        <v>2</v>
      </c>
    </row>
    <row r="94" spans="1:4" x14ac:dyDescent="0.3">
      <c r="A94" s="7">
        <v>44</v>
      </c>
      <c r="B94" s="11"/>
      <c r="C94" s="11">
        <v>2</v>
      </c>
      <c r="D94" s="11">
        <v>2</v>
      </c>
    </row>
    <row r="95" spans="1:4" x14ac:dyDescent="0.3">
      <c r="A95" s="7">
        <v>45</v>
      </c>
      <c r="B95" s="11">
        <v>2</v>
      </c>
      <c r="C95" s="11"/>
      <c r="D95" s="11">
        <v>2</v>
      </c>
    </row>
    <row r="96" spans="1:4" x14ac:dyDescent="0.3">
      <c r="A96" s="7">
        <v>46</v>
      </c>
      <c r="B96" s="11">
        <v>1</v>
      </c>
      <c r="C96" s="11">
        <v>1</v>
      </c>
      <c r="D96" s="11">
        <v>2</v>
      </c>
    </row>
    <row r="97" spans="1:4" x14ac:dyDescent="0.3">
      <c r="A97" s="7">
        <v>48</v>
      </c>
      <c r="B97" s="11">
        <v>3</v>
      </c>
      <c r="C97" s="11">
        <v>2</v>
      </c>
      <c r="D97" s="11">
        <v>5</v>
      </c>
    </row>
    <row r="98" spans="1:4" x14ac:dyDescent="0.3">
      <c r="A98" s="7">
        <v>49</v>
      </c>
      <c r="B98" s="11">
        <v>4</v>
      </c>
      <c r="C98" s="11">
        <v>1</v>
      </c>
      <c r="D98" s="11">
        <v>5</v>
      </c>
    </row>
    <row r="99" spans="1:4" x14ac:dyDescent="0.3">
      <c r="A99" s="7">
        <v>50</v>
      </c>
      <c r="B99" s="11">
        <v>4</v>
      </c>
      <c r="C99" s="11">
        <v>3</v>
      </c>
      <c r="D99" s="11">
        <v>7</v>
      </c>
    </row>
    <row r="100" spans="1:4" x14ac:dyDescent="0.3">
      <c r="A100" s="7">
        <v>51</v>
      </c>
      <c r="B100" s="11">
        <v>4</v>
      </c>
      <c r="C100" s="11">
        <v>3</v>
      </c>
      <c r="D100" s="11">
        <v>7</v>
      </c>
    </row>
    <row r="101" spans="1:4" x14ac:dyDescent="0.3">
      <c r="A101" s="7">
        <v>52</v>
      </c>
      <c r="B101" s="11">
        <v>2</v>
      </c>
      <c r="C101" s="11">
        <v>2</v>
      </c>
      <c r="D101" s="11">
        <v>4</v>
      </c>
    </row>
    <row r="102" spans="1:4" x14ac:dyDescent="0.3">
      <c r="A102" s="7">
        <v>53</v>
      </c>
      <c r="B102" s="11">
        <v>5</v>
      </c>
      <c r="C102" s="11">
        <v>2</v>
      </c>
      <c r="D102" s="11">
        <v>7</v>
      </c>
    </row>
    <row r="103" spans="1:4" x14ac:dyDescent="0.3">
      <c r="A103" s="7">
        <v>54</v>
      </c>
      <c r="B103" s="11">
        <v>1</v>
      </c>
      <c r="C103" s="11">
        <v>5</v>
      </c>
      <c r="D103" s="11">
        <v>6</v>
      </c>
    </row>
    <row r="104" spans="1:4" x14ac:dyDescent="0.3">
      <c r="A104" s="7">
        <v>55</v>
      </c>
      <c r="B104" s="11">
        <v>4</v>
      </c>
      <c r="C104" s="11">
        <v>1</v>
      </c>
      <c r="D104" s="11">
        <v>5</v>
      </c>
    </row>
    <row r="105" spans="1:4" x14ac:dyDescent="0.3">
      <c r="A105" s="7">
        <v>56</v>
      </c>
      <c r="B105" s="11">
        <v>1</v>
      </c>
      <c r="C105" s="11">
        <v>2</v>
      </c>
      <c r="D105" s="11">
        <v>3</v>
      </c>
    </row>
    <row r="106" spans="1:4" x14ac:dyDescent="0.3">
      <c r="A106" s="7">
        <v>58</v>
      </c>
      <c r="B106" s="11">
        <v>1</v>
      </c>
      <c r="C106" s="11">
        <v>2</v>
      </c>
      <c r="D106" s="11">
        <v>3</v>
      </c>
    </row>
    <row r="107" spans="1:4" x14ac:dyDescent="0.3">
      <c r="A107" s="7">
        <v>59</v>
      </c>
      <c r="B107" s="11">
        <v>1</v>
      </c>
      <c r="C107" s="11">
        <v>1</v>
      </c>
      <c r="D107" s="11">
        <v>2</v>
      </c>
    </row>
    <row r="108" spans="1:4" x14ac:dyDescent="0.3">
      <c r="A108" s="7">
        <v>60</v>
      </c>
      <c r="B108" s="11">
        <v>4</v>
      </c>
      <c r="C108" s="11"/>
      <c r="D108" s="11">
        <v>4</v>
      </c>
    </row>
    <row r="109" spans="1:4" x14ac:dyDescent="0.3">
      <c r="A109" s="7">
        <v>61</v>
      </c>
      <c r="B109" s="11">
        <v>2</v>
      </c>
      <c r="C109" s="11">
        <v>1</v>
      </c>
      <c r="D109" s="11">
        <v>3</v>
      </c>
    </row>
    <row r="110" spans="1:4" x14ac:dyDescent="0.3">
      <c r="A110" s="7">
        <v>62</v>
      </c>
      <c r="B110" s="11">
        <v>2</v>
      </c>
      <c r="C110" s="11"/>
      <c r="D110" s="11">
        <v>2</v>
      </c>
    </row>
    <row r="111" spans="1:4" x14ac:dyDescent="0.3">
      <c r="A111" s="7">
        <v>64</v>
      </c>
      <c r="B111" s="11">
        <v>1</v>
      </c>
      <c r="C111" s="11"/>
      <c r="D111" s="11">
        <v>1</v>
      </c>
    </row>
    <row r="112" spans="1:4" x14ac:dyDescent="0.3">
      <c r="A112" s="7">
        <v>69</v>
      </c>
      <c r="B112" s="11">
        <v>1</v>
      </c>
      <c r="C112" s="11"/>
      <c r="D112" s="11">
        <v>1</v>
      </c>
    </row>
    <row r="113" spans="1:4" x14ac:dyDescent="0.3">
      <c r="A113" s="7" t="s">
        <v>42</v>
      </c>
      <c r="B113" s="11">
        <v>55</v>
      </c>
      <c r="C113" s="11">
        <v>41</v>
      </c>
      <c r="D113" s="11">
        <v>96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DEB7-8B7E-4E7F-8227-A86D58B2C900}">
  <dimension ref="A1:U5"/>
  <sheetViews>
    <sheetView showGridLines="0" tabSelected="1" zoomScale="70" zoomScaleNormal="70" workbookViewId="0">
      <selection activeCell="AB32" sqref="AB32"/>
    </sheetView>
  </sheetViews>
  <sheetFormatPr defaultRowHeight="14.4" x14ac:dyDescent="0.3"/>
  <sheetData>
    <row r="1" spans="1:21" ht="14.4" customHeight="1" x14ac:dyDescent="0.3">
      <c r="A1" s="10" t="s">
        <v>54</v>
      </c>
      <c r="B1" s="10"/>
      <c r="C1" s="10"/>
      <c r="D1" s="10"/>
      <c r="E1" s="10"/>
      <c r="F1" s="10"/>
      <c r="G1" s="10"/>
      <c r="H1" s="10"/>
      <c r="I1" s="10"/>
      <c r="J1" s="10"/>
      <c r="K1" s="10"/>
      <c r="L1" s="10"/>
      <c r="M1" s="10"/>
      <c r="N1" s="10"/>
      <c r="O1" s="10"/>
      <c r="P1" s="10"/>
      <c r="Q1" s="10"/>
      <c r="R1" s="9"/>
      <c r="S1" s="9"/>
      <c r="T1" s="9"/>
      <c r="U1" s="9"/>
    </row>
    <row r="2" spans="1:21" ht="14.4" customHeight="1" x14ac:dyDescent="0.3">
      <c r="A2" s="10"/>
      <c r="B2" s="10"/>
      <c r="C2" s="10"/>
      <c r="D2" s="10"/>
      <c r="E2" s="10"/>
      <c r="F2" s="10"/>
      <c r="G2" s="10"/>
      <c r="H2" s="10"/>
      <c r="I2" s="10"/>
      <c r="J2" s="10"/>
      <c r="K2" s="10"/>
      <c r="L2" s="10"/>
      <c r="M2" s="10"/>
      <c r="N2" s="10"/>
      <c r="O2" s="10"/>
      <c r="P2" s="10"/>
      <c r="Q2" s="10"/>
      <c r="R2" s="9"/>
      <c r="S2" s="9"/>
      <c r="T2" s="9"/>
      <c r="U2" s="9"/>
    </row>
    <row r="3" spans="1:21" ht="14.4" customHeight="1" x14ac:dyDescent="0.3">
      <c r="A3" s="10"/>
      <c r="B3" s="10"/>
      <c r="C3" s="10"/>
      <c r="D3" s="10"/>
      <c r="E3" s="10"/>
      <c r="F3" s="10"/>
      <c r="G3" s="10"/>
      <c r="H3" s="10"/>
      <c r="I3" s="10"/>
      <c r="J3" s="10"/>
      <c r="K3" s="10"/>
      <c r="L3" s="10"/>
      <c r="M3" s="10"/>
      <c r="N3" s="10"/>
      <c r="O3" s="10"/>
      <c r="P3" s="10"/>
      <c r="Q3" s="10"/>
      <c r="R3" s="9"/>
      <c r="S3" s="9"/>
      <c r="T3" s="9"/>
      <c r="U3" s="9"/>
    </row>
    <row r="4" spans="1:21" ht="14.4" customHeight="1" x14ac:dyDescent="0.3">
      <c r="A4" s="10"/>
      <c r="B4" s="10"/>
      <c r="C4" s="10"/>
      <c r="D4" s="10"/>
      <c r="E4" s="10"/>
      <c r="F4" s="10"/>
      <c r="G4" s="10"/>
      <c r="H4" s="10"/>
      <c r="I4" s="10"/>
      <c r="J4" s="10"/>
      <c r="K4" s="10"/>
      <c r="L4" s="10"/>
      <c r="M4" s="10"/>
      <c r="N4" s="10"/>
      <c r="O4" s="10"/>
      <c r="P4" s="10"/>
      <c r="Q4" s="10"/>
      <c r="R4" s="9"/>
      <c r="S4" s="9"/>
      <c r="T4" s="9"/>
      <c r="U4" s="9"/>
    </row>
    <row r="5" spans="1:21" ht="14.4" customHeight="1" x14ac:dyDescent="0.3">
      <c r="A5" s="10"/>
      <c r="B5" s="10"/>
      <c r="C5" s="10"/>
      <c r="D5" s="10"/>
      <c r="E5" s="10"/>
      <c r="F5" s="10"/>
      <c r="G5" s="10"/>
      <c r="H5" s="10"/>
      <c r="I5" s="10"/>
      <c r="J5" s="10"/>
      <c r="K5" s="10"/>
      <c r="L5" s="10"/>
      <c r="M5" s="10"/>
      <c r="N5" s="10"/>
      <c r="O5" s="10"/>
      <c r="P5" s="10"/>
      <c r="Q5" s="10"/>
      <c r="R5" s="9"/>
      <c r="S5" s="9"/>
      <c r="T5" s="9"/>
      <c r="U5" s="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Priyanka Sebastian</cp:lastModifiedBy>
  <dcterms:created xsi:type="dcterms:W3CDTF">2022-03-18T02:50:57Z</dcterms:created>
  <dcterms:modified xsi:type="dcterms:W3CDTF">2025-01-08T11:08:17Z</dcterms:modified>
</cp:coreProperties>
</file>